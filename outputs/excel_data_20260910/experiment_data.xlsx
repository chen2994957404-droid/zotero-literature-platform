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\literature-platform\outputs\excel_data_20260910\"/>
    </mc:Choice>
  </mc:AlternateContent>
  <xr:revisionPtr revIDLastSave="0" documentId="13_ncr:1_{13305D88-9162-489C-AD3F-62D7A5FCF8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数据总览" sheetId="1" r:id="rId1"/>
  </sheets>
  <calcPr calcId="191029"/>
</workbook>
</file>

<file path=xl/calcChain.xml><?xml version="1.0" encoding="utf-8"?>
<calcChain xmlns="http://schemas.openxmlformats.org/spreadsheetml/2006/main">
  <c r="I40" i="1" l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<sst xmlns="http://schemas.openxmlformats.org/spreadsheetml/2006/main" count="119" uniqueCount="23">
  <si>
    <t>实验数据汇总</t>
  </si>
  <si>
    <t>每组含 5 次测试；平均值与标准差均由 Excel 公式自动计算。</t>
  </si>
  <si>
    <t>测试高度</t>
  </si>
  <si>
    <t>冲击重量</t>
  </si>
  <si>
    <t>样品编号</t>
  </si>
  <si>
    <t>第1次</t>
  </si>
  <si>
    <t>第2次</t>
  </si>
  <si>
    <t>第3次</t>
  </si>
  <si>
    <t>第4次</t>
  </si>
  <si>
    <t>第5次</t>
  </si>
  <si>
    <t>平均值</t>
  </si>
  <si>
    <t>15cm</t>
  </si>
  <si>
    <t>64g</t>
  </si>
  <si>
    <t>FWB</t>
  </si>
  <si>
    <t>JL</t>
  </si>
  <si>
    <t>70po</t>
  </si>
  <si>
    <t>HJ</t>
  </si>
  <si>
    <t>NZN</t>
  </si>
  <si>
    <t>NZN 10</t>
  </si>
  <si>
    <t>110g</t>
  </si>
  <si>
    <t>256g</t>
  </si>
  <si>
    <t>10cm</t>
  </si>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</sst>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name val="Carlito"/>
    </font>
    <font>
      <b/>
      <sz val="15"/>
      <color rgb="FF17365D"/>
      <name val="Arial"/>
    </font>
    <font>
      <i/>
      <sz val="10"/>
      <color rgb="FF5B6573"/>
      <name val="Arial"/>
    </font>
    <font>
      <sz val="10"/>
      <color rgb="FF1F2937"/>
      <name val="Arial"/>
    </font>
    <font>
      <b/>
      <sz val="10"/>
      <color rgb="FFFFFFFF"/>
      <name val="Arial"/>
    </font>
    <font>
      <b/>
      <sz val="10"/>
      <color rgb="FF17365D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6" fillId="0" borderId="0"/>
  </cellStyleXfs>
  <cellXfs count="8">
    <xf numFmtId="0" fontId="0" fillId="0" borderId="0" xfId="0"/>
    <xf numFmtId="0" fontId="2" fillId="0" borderId="0" xfId="1" applyFont="1"/>
    <xf numFmtId="0" fontId="4" fillId="2" borderId="2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right" vertical="center"/>
    </xf>
    <xf numFmtId="164" fontId="5" fillId="0" borderId="1" xfId="1" applyNumberFormat="1" applyFont="1" applyBorder="1" applyAlignment="1">
      <alignment horizontal="right" vertical="center"/>
    </xf>
    <xf numFmtId="0" fontId="1" fillId="0" borderId="0" xfId="1" applyFont="1" applyAlignment="1">
      <alignment horizontal="left" vertical="center"/>
    </xf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J40"/>
  <sheetViews>
    <sheetView showGridLines="0" tabSelected="1" workbookViewId="0">
      <pane ySplit="4" topLeftCell="A5" activePane="bottomLeft" state="frozen"/>
      <selection pane="bottomLeft" activeCell="L32" sqref="L32"/>
    </sheetView>
  </sheetViews>
  <sheetFormatPr defaultRowHeight="13.8"/>
  <cols>
    <col min="1" max="2" width="12" customWidth="1"/>
    <col min="3" max="3" width="13" customWidth="1"/>
    <col min="4" max="10" width="12" customWidth="1"/>
  </cols>
  <sheetData>
    <row r="1" spans="1:10" ht="28.0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1" t="s">
        <v>1</v>
      </c>
    </row>
    <row r="4" spans="1:10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/>
    </row>
    <row r="5" spans="1:10">
      <c r="A5" s="3" t="s">
        <v>11</v>
      </c>
      <c r="B5" s="3" t="s">
        <v>12</v>
      </c>
      <c r="C5" s="3" t="s">
        <v>13</v>
      </c>
      <c r="D5" s="4">
        <v>409.07600000000002</v>
      </c>
      <c r="E5" s="4">
        <v>395.87299999999999</v>
      </c>
      <c r="F5" s="4">
        <v>395.25400000000002</v>
      </c>
      <c r="G5" s="4">
        <v>340.17500000000001</v>
      </c>
      <c r="H5" s="4">
        <v>445.92500000000001</v>
      </c>
      <c r="I5" s="5">
        <f t="shared" ref="I5:I40" si="0">AVERAGE(D5:H5)</f>
        <v>397.26059999999995</v>
      </c>
      <c r="J5" s="5"/>
    </row>
    <row r="6" spans="1:10">
      <c r="A6" s="3" t="s">
        <v>11</v>
      </c>
      <c r="B6" s="3" t="s">
        <v>12</v>
      </c>
      <c r="C6" s="3" t="s">
        <v>14</v>
      </c>
      <c r="D6" s="4">
        <v>233.10900000000001</v>
      </c>
      <c r="E6" s="4">
        <v>273.33600000000001</v>
      </c>
      <c r="F6" s="4">
        <v>283.03199999999998</v>
      </c>
      <c r="G6" s="4">
        <v>251.05699999999999</v>
      </c>
      <c r="H6" s="4">
        <v>244.40600000000001</v>
      </c>
      <c r="I6" s="5">
        <f t="shared" si="0"/>
        <v>256.988</v>
      </c>
      <c r="J6" s="5"/>
    </row>
    <row r="7" spans="1:10">
      <c r="A7" s="3" t="s">
        <v>11</v>
      </c>
      <c r="B7" s="3" t="s">
        <v>12</v>
      </c>
      <c r="C7" s="3" t="s">
        <v>15</v>
      </c>
      <c r="D7" s="4">
        <v>401.65</v>
      </c>
      <c r="E7" s="4">
        <v>375.03800000000001</v>
      </c>
      <c r="F7" s="4">
        <v>363.89800000000002</v>
      </c>
      <c r="G7" s="4">
        <v>424.142</v>
      </c>
      <c r="H7" s="4">
        <v>465.6</v>
      </c>
      <c r="I7" s="5">
        <f t="shared" si="0"/>
        <v>406.06560000000002</v>
      </c>
      <c r="J7" s="5"/>
    </row>
    <row r="8" spans="1:10">
      <c r="A8" s="3" t="s">
        <v>11</v>
      </c>
      <c r="B8" s="3" t="s">
        <v>12</v>
      </c>
      <c r="C8" s="3" t="s">
        <v>16</v>
      </c>
      <c r="D8" s="4">
        <v>453.42899999999997</v>
      </c>
      <c r="E8" s="4">
        <v>488.49799999999999</v>
      </c>
      <c r="F8" s="4">
        <v>478.30799999999999</v>
      </c>
      <c r="G8" s="4">
        <v>466.21899999999999</v>
      </c>
      <c r="H8" s="4">
        <v>504.589</v>
      </c>
      <c r="I8" s="5">
        <f t="shared" si="0"/>
        <v>478.20860000000005</v>
      </c>
      <c r="J8" s="5"/>
    </row>
    <row r="9" spans="1:10">
      <c r="A9" s="3" t="s">
        <v>11</v>
      </c>
      <c r="B9" s="3" t="s">
        <v>12</v>
      </c>
      <c r="C9" s="3" t="s">
        <v>17</v>
      </c>
      <c r="D9" s="4">
        <v>414.85199999999998</v>
      </c>
      <c r="E9" s="4">
        <v>464.56799999999998</v>
      </c>
      <c r="F9" s="4">
        <v>467.95</v>
      </c>
      <c r="G9" s="4">
        <v>491.38600000000002</v>
      </c>
      <c r="H9" s="4">
        <v>469.726</v>
      </c>
      <c r="I9" s="5">
        <f t="shared" si="0"/>
        <v>461.69639999999998</v>
      </c>
      <c r="J9" s="5"/>
    </row>
    <row r="10" spans="1:10">
      <c r="A10" s="3" t="s">
        <v>11</v>
      </c>
      <c r="B10" s="3" t="s">
        <v>12</v>
      </c>
      <c r="C10" s="3" t="s">
        <v>18</v>
      </c>
      <c r="D10" s="4">
        <v>482.928</v>
      </c>
      <c r="E10" s="4">
        <v>440.02</v>
      </c>
      <c r="F10" s="4">
        <v>441.87599999999998</v>
      </c>
      <c r="G10" s="4">
        <v>487.46699999999998</v>
      </c>
      <c r="H10" s="4">
        <v>415.26499999999999</v>
      </c>
      <c r="I10" s="5">
        <f t="shared" si="0"/>
        <v>453.51120000000003</v>
      </c>
      <c r="J10" s="5"/>
    </row>
    <row r="11" spans="1:10">
      <c r="A11" s="3" t="s">
        <v>11</v>
      </c>
      <c r="B11" s="3" t="s">
        <v>19</v>
      </c>
      <c r="C11" s="3" t="s">
        <v>13</v>
      </c>
      <c r="D11" s="4">
        <v>615.36699999999996</v>
      </c>
      <c r="E11" s="4">
        <v>581.74199999999996</v>
      </c>
      <c r="F11" s="4">
        <v>536.77</v>
      </c>
      <c r="G11" s="4">
        <v>633.72699999999998</v>
      </c>
      <c r="H11" s="4">
        <v>576.79100000000005</v>
      </c>
      <c r="I11" s="5">
        <f t="shared" si="0"/>
        <v>588.87940000000003</v>
      </c>
      <c r="J11" s="5"/>
    </row>
    <row r="12" spans="1:10">
      <c r="A12" s="3" t="s">
        <v>11</v>
      </c>
      <c r="B12" s="3" t="s">
        <v>19</v>
      </c>
      <c r="C12" s="3" t="s">
        <v>14</v>
      </c>
      <c r="D12" s="4">
        <v>401.03100000000001</v>
      </c>
      <c r="E12" s="4">
        <v>402.26799999999997</v>
      </c>
      <c r="F12" s="4">
        <v>420.62799999999999</v>
      </c>
      <c r="G12" s="4">
        <v>343.47500000000002</v>
      </c>
      <c r="H12" s="4">
        <v>337.49299999999999</v>
      </c>
      <c r="I12" s="5">
        <f t="shared" si="0"/>
        <v>380.97899999999998</v>
      </c>
      <c r="J12" s="5"/>
    </row>
    <row r="13" spans="1:10">
      <c r="A13" s="3" t="s">
        <v>11</v>
      </c>
      <c r="B13" s="3" t="s">
        <v>19</v>
      </c>
      <c r="C13" s="3" t="s">
        <v>15</v>
      </c>
      <c r="D13" s="4">
        <v>549.14800000000002</v>
      </c>
      <c r="E13" s="4">
        <v>548.11599999999999</v>
      </c>
      <c r="F13" s="4">
        <v>577.20399999999995</v>
      </c>
      <c r="G13" s="4">
        <v>560.49400000000003</v>
      </c>
      <c r="H13" s="4">
        <v>508.096</v>
      </c>
      <c r="I13" s="5">
        <f t="shared" si="0"/>
        <v>548.61159999999995</v>
      </c>
      <c r="J13" s="5"/>
    </row>
    <row r="14" spans="1:10">
      <c r="A14" s="3" t="s">
        <v>11</v>
      </c>
      <c r="B14" s="3" t="s">
        <v>19</v>
      </c>
      <c r="C14" s="3" t="s">
        <v>16</v>
      </c>
      <c r="D14" s="4">
        <v>601.13300000000004</v>
      </c>
      <c r="E14" s="4">
        <v>664.46500000000003</v>
      </c>
      <c r="F14" s="4">
        <v>670.447</v>
      </c>
      <c r="G14" s="4">
        <v>676.22400000000005</v>
      </c>
      <c r="H14" s="4">
        <v>670.24099999999999</v>
      </c>
      <c r="I14" s="5">
        <f t="shared" si="0"/>
        <v>656.50200000000007</v>
      </c>
      <c r="J14" s="5"/>
    </row>
    <row r="15" spans="1:10">
      <c r="A15" s="3" t="s">
        <v>11</v>
      </c>
      <c r="B15" s="3" t="s">
        <v>19</v>
      </c>
      <c r="C15" s="3" t="s">
        <v>17</v>
      </c>
      <c r="D15" s="4">
        <v>617.13699999999994</v>
      </c>
      <c r="E15" s="4">
        <v>575.76</v>
      </c>
      <c r="F15" s="4">
        <v>518.13699999999994</v>
      </c>
      <c r="G15" s="4">
        <v>636.40899999999999</v>
      </c>
      <c r="H15" s="4">
        <v>480.45299999999997</v>
      </c>
      <c r="I15" s="5">
        <f t="shared" si="0"/>
        <v>565.5791999999999</v>
      </c>
      <c r="J15" s="5"/>
    </row>
    <row r="16" spans="1:10">
      <c r="A16" s="3" t="s">
        <v>11</v>
      </c>
      <c r="B16" s="3" t="s">
        <v>19</v>
      </c>
      <c r="C16" s="3" t="s">
        <v>18</v>
      </c>
      <c r="D16" s="4">
        <v>589.16800000000001</v>
      </c>
      <c r="E16" s="4">
        <v>551.41700000000003</v>
      </c>
      <c r="F16" s="4">
        <v>538.83299999999997</v>
      </c>
      <c r="G16" s="4">
        <v>595.77</v>
      </c>
      <c r="H16" s="4">
        <v>543.37199999999996</v>
      </c>
      <c r="I16" s="5">
        <f t="shared" si="0"/>
        <v>563.71199999999999</v>
      </c>
      <c r="J16" s="5"/>
    </row>
    <row r="17" spans="1:10">
      <c r="A17" s="3" t="s">
        <v>11</v>
      </c>
      <c r="B17" s="3" t="s">
        <v>20</v>
      </c>
      <c r="C17" s="3" t="s">
        <v>13</v>
      </c>
      <c r="D17" s="4">
        <v>713.09699999999998</v>
      </c>
      <c r="E17" s="4">
        <v>749.45699999999999</v>
      </c>
      <c r="F17" s="4">
        <v>775.45</v>
      </c>
      <c r="G17" s="4">
        <v>669.00300000000004</v>
      </c>
      <c r="H17" s="4">
        <v>669.82799999999997</v>
      </c>
      <c r="I17" s="5">
        <f t="shared" si="0"/>
        <v>715.36699999999996</v>
      </c>
      <c r="J17" s="5"/>
    </row>
    <row r="18" spans="1:10">
      <c r="A18" s="3" t="s">
        <v>11</v>
      </c>
      <c r="B18" s="3" t="s">
        <v>20</v>
      </c>
      <c r="C18" s="3" t="s">
        <v>14</v>
      </c>
      <c r="D18" s="4">
        <v>762.04100000000005</v>
      </c>
      <c r="E18" s="4">
        <v>768.64200000000005</v>
      </c>
      <c r="F18" s="4">
        <v>728.41499999999996</v>
      </c>
      <c r="G18" s="4">
        <v>747.18799999999999</v>
      </c>
      <c r="H18" s="4">
        <v>792.15899999999999</v>
      </c>
      <c r="I18" s="5">
        <f t="shared" si="0"/>
        <v>759.68900000000008</v>
      </c>
      <c r="J18" s="5"/>
    </row>
    <row r="19" spans="1:10">
      <c r="A19" s="3" t="s">
        <v>11</v>
      </c>
      <c r="B19" s="3" t="s">
        <v>20</v>
      </c>
      <c r="C19" s="3" t="s">
        <v>15</v>
      </c>
      <c r="D19" s="4">
        <v>801.649</v>
      </c>
      <c r="E19" s="4">
        <v>763.279</v>
      </c>
      <c r="F19" s="4">
        <v>740.99900000000002</v>
      </c>
      <c r="G19" s="4">
        <v>805.77499999999998</v>
      </c>
      <c r="H19" s="4">
        <v>725.73299999999995</v>
      </c>
      <c r="I19" s="5">
        <f t="shared" si="0"/>
        <v>767.48699999999985</v>
      </c>
      <c r="J19" s="5"/>
    </row>
    <row r="20" spans="1:10">
      <c r="A20" s="3" t="s">
        <v>11</v>
      </c>
      <c r="B20" s="3" t="s">
        <v>20</v>
      </c>
      <c r="C20" s="3" t="s">
        <v>16</v>
      </c>
      <c r="D20" s="4">
        <v>815.26400000000001</v>
      </c>
      <c r="E20" s="4">
        <v>814.43899999999996</v>
      </c>
      <c r="F20" s="4">
        <v>768.43600000000004</v>
      </c>
      <c r="G20" s="4">
        <v>735.36300000000006</v>
      </c>
      <c r="H20" s="4">
        <v>758.53399999999999</v>
      </c>
      <c r="I20" s="5">
        <f t="shared" si="0"/>
        <v>778.4072000000001</v>
      </c>
      <c r="J20" s="5"/>
    </row>
    <row r="21" spans="1:10">
      <c r="A21" s="3" t="s">
        <v>11</v>
      </c>
      <c r="B21" s="3" t="s">
        <v>20</v>
      </c>
      <c r="C21" s="3" t="s">
        <v>17</v>
      </c>
      <c r="D21" s="4">
        <v>802.47400000000005</v>
      </c>
      <c r="E21" s="4">
        <v>783.70100000000002</v>
      </c>
      <c r="F21" s="4">
        <v>744.3</v>
      </c>
      <c r="G21" s="4">
        <v>738.11099999999999</v>
      </c>
      <c r="H21" s="4">
        <v>745.95</v>
      </c>
      <c r="I21" s="5">
        <f t="shared" si="0"/>
        <v>762.90719999999999</v>
      </c>
      <c r="J21" s="5"/>
    </row>
    <row r="22" spans="1:10">
      <c r="A22" s="3" t="s">
        <v>11</v>
      </c>
      <c r="B22" s="3" t="s">
        <v>20</v>
      </c>
      <c r="C22" s="3" t="s">
        <v>18</v>
      </c>
      <c r="D22" s="4">
        <v>780.81299999999999</v>
      </c>
      <c r="E22" s="4">
        <v>769.46699999999998</v>
      </c>
      <c r="F22" s="4">
        <v>767.61099999999999</v>
      </c>
      <c r="G22" s="4">
        <v>837.33699999999999</v>
      </c>
      <c r="H22" s="4">
        <v>694.58299999999997</v>
      </c>
      <c r="I22" s="5">
        <f t="shared" si="0"/>
        <v>769.96220000000005</v>
      </c>
      <c r="J22" s="5"/>
    </row>
    <row r="23" spans="1:10">
      <c r="A23" s="3" t="s">
        <v>21</v>
      </c>
      <c r="B23" s="3" t="s">
        <v>12</v>
      </c>
      <c r="C23" s="3" t="s">
        <v>13</v>
      </c>
      <c r="D23" s="4">
        <v>197.834</v>
      </c>
      <c r="E23" s="4">
        <v>194.739</v>
      </c>
      <c r="F23" s="4">
        <v>201.959</v>
      </c>
      <c r="G23" s="4">
        <v>200.72200000000001</v>
      </c>
      <c r="H23" s="4">
        <v>173.904</v>
      </c>
      <c r="I23" s="5">
        <f t="shared" si="0"/>
        <v>193.83159999999998</v>
      </c>
      <c r="J23" s="5"/>
    </row>
    <row r="24" spans="1:10">
      <c r="A24" s="3" t="s">
        <v>21</v>
      </c>
      <c r="B24" s="3" t="s">
        <v>12</v>
      </c>
      <c r="C24" s="3" t="s">
        <v>14</v>
      </c>
      <c r="D24" s="4">
        <v>109.77</v>
      </c>
      <c r="E24" s="4">
        <v>112.429</v>
      </c>
      <c r="F24" s="4">
        <v>90.768000000000001</v>
      </c>
      <c r="G24" s="4">
        <v>74.894000000000005</v>
      </c>
      <c r="H24" s="4">
        <v>87.468000000000004</v>
      </c>
      <c r="I24" s="5">
        <f t="shared" si="0"/>
        <v>95.065799999999996</v>
      </c>
      <c r="J24" s="5"/>
    </row>
    <row r="25" spans="1:10">
      <c r="A25" s="3" t="s">
        <v>21</v>
      </c>
      <c r="B25" s="3" t="s">
        <v>12</v>
      </c>
      <c r="C25" s="3" t="s">
        <v>15</v>
      </c>
      <c r="D25" s="4">
        <v>330.06599999999997</v>
      </c>
      <c r="E25" s="4">
        <v>317.27600000000001</v>
      </c>
      <c r="F25" s="4">
        <v>326.76600000000002</v>
      </c>
      <c r="G25" s="4">
        <v>309.64</v>
      </c>
      <c r="H25" s="4">
        <v>428.51600000000002</v>
      </c>
      <c r="I25" s="5">
        <f t="shared" si="0"/>
        <v>342.45280000000002</v>
      </c>
      <c r="J25" s="5"/>
    </row>
    <row r="26" spans="1:10">
      <c r="A26" s="3" t="s">
        <v>21</v>
      </c>
      <c r="B26" s="3" t="s">
        <v>12</v>
      </c>
      <c r="C26" s="3" t="s">
        <v>22</v>
      </c>
      <c r="D26" s="4">
        <v>326.43</v>
      </c>
      <c r="E26" s="4">
        <v>444.197</v>
      </c>
      <c r="F26" s="4">
        <v>592.26300000000003</v>
      </c>
      <c r="G26" s="4">
        <v>455.69799999999998</v>
      </c>
      <c r="H26" s="4">
        <v>617.84299999999996</v>
      </c>
      <c r="I26" s="5">
        <f t="shared" si="0"/>
        <v>487.28619999999989</v>
      </c>
      <c r="J26" s="5"/>
    </row>
    <row r="27" spans="1:10">
      <c r="A27" s="3" t="s">
        <v>21</v>
      </c>
      <c r="B27" s="3" t="s">
        <v>12</v>
      </c>
      <c r="C27" s="3" t="s">
        <v>17</v>
      </c>
      <c r="D27" s="4">
        <v>270.86099999999999</v>
      </c>
      <c r="E27" s="4">
        <v>322.02100000000002</v>
      </c>
      <c r="F27" s="4">
        <v>305.31099999999998</v>
      </c>
      <c r="G27" s="4">
        <v>304.48599999999999</v>
      </c>
      <c r="H27" s="4">
        <v>261.78399999999999</v>
      </c>
      <c r="I27" s="5">
        <f t="shared" si="0"/>
        <v>292.89260000000002</v>
      </c>
      <c r="J27" s="5"/>
    </row>
    <row r="28" spans="1:10">
      <c r="A28" s="3" t="s">
        <v>21</v>
      </c>
      <c r="B28" s="3" t="s">
        <v>12</v>
      </c>
      <c r="C28" s="3" t="s">
        <v>18</v>
      </c>
      <c r="D28" s="4">
        <v>402.68099999999998</v>
      </c>
      <c r="E28" s="4">
        <v>376.68799999999999</v>
      </c>
      <c r="F28" s="4">
        <v>386.178</v>
      </c>
      <c r="G28" s="4">
        <v>368.64299999999997</v>
      </c>
      <c r="H28" s="4">
        <v>380.19499999999999</v>
      </c>
      <c r="I28" s="5">
        <f t="shared" si="0"/>
        <v>382.87700000000001</v>
      </c>
      <c r="J28" s="5"/>
    </row>
    <row r="29" spans="1:10">
      <c r="A29" s="3" t="s">
        <v>21</v>
      </c>
      <c r="B29" s="3" t="s">
        <v>19</v>
      </c>
      <c r="C29" s="3" t="s">
        <v>13</v>
      </c>
      <c r="D29" s="4">
        <v>454.666</v>
      </c>
      <c r="E29" s="4">
        <v>400.82400000000001</v>
      </c>
      <c r="F29" s="4">
        <v>458.58600000000001</v>
      </c>
      <c r="G29" s="4">
        <v>387.62200000000001</v>
      </c>
      <c r="H29" s="4">
        <v>494.06799999999998</v>
      </c>
      <c r="I29" s="5">
        <f t="shared" si="0"/>
        <v>439.15320000000003</v>
      </c>
      <c r="J29" s="5"/>
    </row>
    <row r="30" spans="1:10">
      <c r="A30" s="3" t="s">
        <v>21</v>
      </c>
      <c r="B30" s="3" t="s">
        <v>19</v>
      </c>
      <c r="C30" s="3" t="s">
        <v>14</v>
      </c>
      <c r="D30" s="4">
        <v>124.6</v>
      </c>
      <c r="E30" s="4">
        <v>120.887</v>
      </c>
      <c r="F30" s="4">
        <v>152.65600000000001</v>
      </c>
      <c r="G30" s="4">
        <v>150.18</v>
      </c>
      <c r="H30" s="4">
        <v>126.869</v>
      </c>
      <c r="I30" s="5">
        <f t="shared" si="0"/>
        <v>135.03840000000002</v>
      </c>
      <c r="J30" s="5"/>
    </row>
    <row r="31" spans="1:10">
      <c r="A31" s="3" t="s">
        <v>21</v>
      </c>
      <c r="B31" s="3" t="s">
        <v>19</v>
      </c>
      <c r="C31" s="3" t="s">
        <v>15</v>
      </c>
      <c r="D31" s="4">
        <v>508.92099999999999</v>
      </c>
      <c r="E31" s="4">
        <v>440.767</v>
      </c>
      <c r="F31" s="4">
        <v>482.51</v>
      </c>
      <c r="G31" s="4">
        <v>469.10700000000003</v>
      </c>
      <c r="H31" s="4">
        <v>404.95</v>
      </c>
      <c r="I31" s="5">
        <f t="shared" si="0"/>
        <v>461.25099999999992</v>
      </c>
      <c r="J31" s="5"/>
    </row>
    <row r="32" spans="1:10">
      <c r="A32" s="3" t="s">
        <v>21</v>
      </c>
      <c r="B32" s="3" t="s">
        <v>19</v>
      </c>
      <c r="C32" s="3" t="s">
        <v>22</v>
      </c>
      <c r="D32" s="4">
        <v>403.91899999999998</v>
      </c>
      <c r="E32" s="4">
        <v>424.13499999999999</v>
      </c>
      <c r="F32" s="4">
        <v>448.27100000000002</v>
      </c>
      <c r="G32" s="4">
        <v>433.02499999999998</v>
      </c>
      <c r="H32" s="4">
        <v>416.29599999999999</v>
      </c>
      <c r="I32" s="5">
        <f t="shared" si="0"/>
        <v>425.12919999999997</v>
      </c>
      <c r="J32" s="5"/>
    </row>
    <row r="33" spans="1:10">
      <c r="A33" s="3" t="s">
        <v>21</v>
      </c>
      <c r="B33" s="3" t="s">
        <v>19</v>
      </c>
      <c r="C33" s="3" t="s">
        <v>17</v>
      </c>
      <c r="D33" s="4">
        <v>455.07900000000001</v>
      </c>
      <c r="E33" s="4">
        <v>444.971</v>
      </c>
      <c r="F33" s="4">
        <v>432.387</v>
      </c>
      <c r="G33" s="4">
        <v>466.291</v>
      </c>
      <c r="H33" s="4">
        <v>493.86200000000002</v>
      </c>
      <c r="I33" s="5">
        <f t="shared" si="0"/>
        <v>458.51799999999992</v>
      </c>
      <c r="J33" s="5"/>
    </row>
    <row r="34" spans="1:10">
      <c r="A34" s="3" t="s">
        <v>21</v>
      </c>
      <c r="B34" s="3" t="s">
        <v>19</v>
      </c>
      <c r="C34" s="3" t="s">
        <v>18</v>
      </c>
      <c r="D34" s="4">
        <v>404.125</v>
      </c>
      <c r="E34" s="4">
        <v>416.29599999999999</v>
      </c>
      <c r="F34" s="4">
        <v>449.303</v>
      </c>
      <c r="G34" s="4">
        <v>453.22199999999998</v>
      </c>
      <c r="H34" s="4">
        <v>437.75099999999998</v>
      </c>
      <c r="I34" s="5">
        <f t="shared" si="0"/>
        <v>432.13940000000002</v>
      </c>
      <c r="J34" s="5"/>
    </row>
    <row r="35" spans="1:10">
      <c r="A35" s="3" t="s">
        <v>21</v>
      </c>
      <c r="B35" s="3" t="s">
        <v>20</v>
      </c>
      <c r="C35" s="3" t="s">
        <v>13</v>
      </c>
      <c r="D35" s="4">
        <v>558.01800000000003</v>
      </c>
      <c r="E35" s="4">
        <v>536.35799999999995</v>
      </c>
      <c r="F35" s="4">
        <v>594.12</v>
      </c>
      <c r="G35" s="4">
        <v>613.51099999999997</v>
      </c>
      <c r="H35" s="4">
        <v>619.44799999999998</v>
      </c>
      <c r="I35" s="5">
        <f t="shared" si="0"/>
        <v>584.29099999999994</v>
      </c>
      <c r="J35" s="5"/>
    </row>
    <row r="36" spans="1:10">
      <c r="A36" s="3" t="s">
        <v>21</v>
      </c>
      <c r="B36" s="3" t="s">
        <v>20</v>
      </c>
      <c r="C36" s="3" t="s">
        <v>14</v>
      </c>
      <c r="D36" s="4">
        <v>314.20600000000002</v>
      </c>
      <c r="E36" s="4">
        <v>333.36700000000002</v>
      </c>
      <c r="F36" s="4">
        <v>344.91899999999998</v>
      </c>
      <c r="G36" s="4">
        <v>366.99299999999999</v>
      </c>
      <c r="H36" s="4">
        <v>368.23</v>
      </c>
      <c r="I36" s="5">
        <f t="shared" si="0"/>
        <v>345.54300000000001</v>
      </c>
      <c r="J36" s="5"/>
    </row>
    <row r="37" spans="1:10">
      <c r="A37" s="3" t="s">
        <v>21</v>
      </c>
      <c r="B37" s="3" t="s">
        <v>20</v>
      </c>
      <c r="C37" s="3" t="s">
        <v>15</v>
      </c>
      <c r="D37" s="4">
        <v>656.21299999999997</v>
      </c>
      <c r="E37" s="4">
        <v>682.61900000000003</v>
      </c>
      <c r="F37" s="4">
        <v>628.57000000000005</v>
      </c>
      <c r="G37" s="4">
        <v>641.97900000000004</v>
      </c>
      <c r="H37" s="4">
        <v>691.69500000000005</v>
      </c>
      <c r="I37" s="5">
        <f t="shared" si="0"/>
        <v>660.2152000000001</v>
      </c>
      <c r="J37" s="5"/>
    </row>
    <row r="38" spans="1:10">
      <c r="A38" s="3" t="s">
        <v>21</v>
      </c>
      <c r="B38" s="3" t="s">
        <v>20</v>
      </c>
      <c r="C38" s="3" t="s">
        <v>16</v>
      </c>
      <c r="D38" s="4">
        <v>562.351</v>
      </c>
      <c r="E38" s="4">
        <v>607.322</v>
      </c>
      <c r="F38" s="4">
        <v>575.96600000000001</v>
      </c>
      <c r="G38" s="4">
        <v>594.94500000000005</v>
      </c>
      <c r="H38" s="4">
        <v>587.10599999999999</v>
      </c>
      <c r="I38" s="5">
        <f t="shared" si="0"/>
        <v>585.53800000000012</v>
      </c>
      <c r="J38" s="5"/>
    </row>
    <row r="39" spans="1:10">
      <c r="A39" s="3" t="s">
        <v>21</v>
      </c>
      <c r="B39" s="3" t="s">
        <v>20</v>
      </c>
      <c r="C39" s="3" t="s">
        <v>17</v>
      </c>
      <c r="D39" s="4">
        <v>641.36</v>
      </c>
      <c r="E39" s="4">
        <v>671.27300000000002</v>
      </c>
      <c r="F39" s="4">
        <v>596.38900000000001</v>
      </c>
      <c r="G39" s="4">
        <v>628.98299999999995</v>
      </c>
      <c r="H39" s="4">
        <v>630.63300000000004</v>
      </c>
      <c r="I39" s="5">
        <f t="shared" si="0"/>
        <v>633.72759999999994</v>
      </c>
      <c r="J39" s="5"/>
    </row>
    <row r="40" spans="1:10">
      <c r="A40" s="3" t="s">
        <v>21</v>
      </c>
      <c r="B40" s="3" t="s">
        <v>20</v>
      </c>
      <c r="C40" s="3" t="s">
        <v>18</v>
      </c>
      <c r="D40" s="4">
        <v>580.50400000000002</v>
      </c>
      <c r="E40" s="4">
        <v>565.23900000000003</v>
      </c>
      <c r="F40" s="4">
        <v>559.25599999999997</v>
      </c>
      <c r="G40" s="4">
        <v>559.66899999999998</v>
      </c>
      <c r="H40" s="4">
        <v>583.59900000000005</v>
      </c>
      <c r="I40" s="5">
        <f t="shared" si="0"/>
        <v>569.65339999999992</v>
      </c>
      <c r="J40" s="5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labala Ba</cp:lastModifiedBy>
  <dcterms:modified xsi:type="dcterms:W3CDTF">2026-09-10T14:08:42Z</dcterms:modified>
</cp:coreProperties>
</file>